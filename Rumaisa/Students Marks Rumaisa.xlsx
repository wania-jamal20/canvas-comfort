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2.IOBM-STD\Documents\Rumaisa\"/>
    </mc:Choice>
  </mc:AlternateContent>
  <xr:revisionPtr revIDLastSave="0" documentId="13_ncr:1_{E5DD4214-4270-4678-8A0E-8FF27A9460F9}" xr6:coauthVersionLast="36" xr6:coauthVersionMax="36" xr10:uidLastSave="{00000000-0000-0000-0000-000000000000}"/>
  <bookViews>
    <workbookView xWindow="0" yWindow="0" windowWidth="24720" windowHeight="12105" xr2:uid="{B1FCA3BA-AC3B-414A-BFD1-8B7803D5724B}"/>
  </bookViews>
  <sheets>
    <sheet name="Students Mark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  <c r="K7" i="1"/>
  <c r="F10" i="1"/>
  <c r="H6" i="1"/>
  <c r="H5" i="1"/>
  <c r="E13" i="1"/>
  <c r="E12" i="1"/>
  <c r="E11" i="1"/>
</calcChain>
</file>

<file path=xl/sharedStrings.xml><?xml version="1.0" encoding="utf-8"?>
<sst xmlns="http://schemas.openxmlformats.org/spreadsheetml/2006/main" count="32" uniqueCount="24">
  <si>
    <t>S.no</t>
  </si>
  <si>
    <t>Name</t>
  </si>
  <si>
    <t>Course</t>
  </si>
  <si>
    <t>Marks</t>
  </si>
  <si>
    <t xml:space="preserve">Grade </t>
  </si>
  <si>
    <t>F</t>
  </si>
  <si>
    <t>B</t>
  </si>
  <si>
    <t>C</t>
  </si>
  <si>
    <t>A</t>
  </si>
  <si>
    <t>DSA</t>
  </si>
  <si>
    <t>PF</t>
  </si>
  <si>
    <t>CC</t>
  </si>
  <si>
    <t>Areeba</t>
  </si>
  <si>
    <t>Alisha</t>
  </si>
  <si>
    <t>Azaan</t>
  </si>
  <si>
    <t>Aariz</t>
  </si>
  <si>
    <t>Azlan</t>
  </si>
  <si>
    <t xml:space="preserve">Number of Students </t>
  </si>
  <si>
    <t>Sum of Total Marks</t>
  </si>
  <si>
    <t>Avg.Marks of Students</t>
  </si>
  <si>
    <t xml:space="preserve">Ali </t>
  </si>
  <si>
    <t>No of students in pf</t>
  </si>
  <si>
    <t>No of students in DSA</t>
  </si>
  <si>
    <t xml:space="preserve">No.of fail students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</si>
</sst>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F158-BE24-4A30-B33F-82CBC0451306}">
  <dimension ref="C2:K13"/>
  <sheetViews>
    <sheetView tabSelected="1" zoomScale="130" zoomScaleNormal="130" workbookViewId="0">
      <selection activeCell="D23" sqref="D23"/>
    </sheetView>
  </sheetViews>
  <sheetFormatPr defaultRowHeight="15" x14ac:dyDescent="0.25"/>
  <cols>
    <col min="4" max="4" width="12.7109375" customWidth="1"/>
    <col min="10" max="10" width="10.28515625" customWidth="1"/>
  </cols>
  <sheetData>
    <row r="2" spans="3:11" x14ac:dyDescent="0.25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3:11" x14ac:dyDescent="0.25">
      <c r="C3" s="2">
        <v>1</v>
      </c>
      <c r="D3" s="2" t="s">
        <v>16</v>
      </c>
      <c r="E3" s="2" t="s">
        <v>9</v>
      </c>
      <c r="F3" s="2">
        <v>46</v>
      </c>
      <c r="G3" s="2" t="s">
        <v>5</v>
      </c>
    </row>
    <row r="4" spans="3:11" x14ac:dyDescent="0.25">
      <c r="C4" s="2">
        <v>2</v>
      </c>
      <c r="D4" s="2" t="s">
        <v>15</v>
      </c>
      <c r="E4" s="2" t="s">
        <v>10</v>
      </c>
      <c r="F4" s="2">
        <v>78</v>
      </c>
      <c r="G4" s="2" t="s">
        <v>6</v>
      </c>
    </row>
    <row r="5" spans="3:11" x14ac:dyDescent="0.25">
      <c r="C5" s="2">
        <v>3</v>
      </c>
      <c r="D5" s="2" t="s">
        <v>13</v>
      </c>
      <c r="E5" s="2" t="s">
        <v>9</v>
      </c>
      <c r="F5" s="2">
        <v>46</v>
      </c>
      <c r="G5" s="2" t="s">
        <v>5</v>
      </c>
      <c r="H5">
        <f>COUNTA(E3:E9)</f>
        <v>7</v>
      </c>
    </row>
    <row r="6" spans="3:11" x14ac:dyDescent="0.25">
      <c r="C6" s="2">
        <v>4</v>
      </c>
      <c r="D6" s="2" t="s">
        <v>20</v>
      </c>
      <c r="E6" s="2" t="s">
        <v>10</v>
      </c>
      <c r="F6" s="2">
        <v>80</v>
      </c>
      <c r="G6" s="2" t="s">
        <v>6</v>
      </c>
      <c r="H6">
        <f>COUNTBLANK(F3:G9)</f>
        <v>0</v>
      </c>
    </row>
    <row r="7" spans="3:11" x14ac:dyDescent="0.25">
      <c r="C7" s="2">
        <v>5</v>
      </c>
      <c r="D7" s="2" t="s">
        <v>14</v>
      </c>
      <c r="E7" s="2" t="s">
        <v>9</v>
      </c>
      <c r="F7" s="2">
        <v>65</v>
      </c>
      <c r="G7" s="2" t="s">
        <v>7</v>
      </c>
      <c r="H7" s="4" t="s">
        <v>22</v>
      </c>
      <c r="I7" s="1"/>
      <c r="J7" s="1"/>
      <c r="K7">
        <f>COUNTIF(E3:E9,"DSA")</f>
        <v>4</v>
      </c>
    </row>
    <row r="8" spans="3:11" x14ac:dyDescent="0.25">
      <c r="C8" s="2">
        <v>6</v>
      </c>
      <c r="D8" s="2" t="s">
        <v>13</v>
      </c>
      <c r="E8" s="2" t="s">
        <v>9</v>
      </c>
      <c r="F8" s="2">
        <v>90</v>
      </c>
      <c r="G8" s="2" t="s">
        <v>8</v>
      </c>
      <c r="H8" s="4" t="s">
        <v>21</v>
      </c>
      <c r="I8" s="1"/>
      <c r="J8" s="1"/>
      <c r="K8">
        <f>COUNTIF(E3:E9,"PF")</f>
        <v>2</v>
      </c>
    </row>
    <row r="9" spans="3:11" x14ac:dyDescent="0.25">
      <c r="C9" s="2">
        <v>7</v>
      </c>
      <c r="D9" s="2" t="s">
        <v>12</v>
      </c>
      <c r="E9" s="2" t="s">
        <v>11</v>
      </c>
      <c r="F9" s="2">
        <v>72</v>
      </c>
      <c r="G9" s="2" t="s">
        <v>7</v>
      </c>
      <c r="H9" s="4" t="s">
        <v>23</v>
      </c>
      <c r="I9" s="1"/>
      <c r="J9" s="1"/>
      <c r="K9">
        <f>COUNTIF(G3:G9,"F")</f>
        <v>2</v>
      </c>
    </row>
    <row r="10" spans="3:11" x14ac:dyDescent="0.25">
      <c r="F10">
        <f>MAX(F3:F9)</f>
        <v>90</v>
      </c>
    </row>
    <row r="11" spans="3:11" x14ac:dyDescent="0.25">
      <c r="C11" s="3" t="s">
        <v>17</v>
      </c>
      <c r="D11" s="3"/>
      <c r="E11" s="3">
        <f>COUNT(C3:C9)</f>
        <v>7</v>
      </c>
      <c r="F11" s="3"/>
      <c r="G11" s="3"/>
    </row>
    <row r="12" spans="3:11" x14ac:dyDescent="0.25">
      <c r="C12" s="3" t="s">
        <v>18</v>
      </c>
      <c r="D12" s="3"/>
      <c r="E12" s="3">
        <f>SUM(F3:F9)</f>
        <v>477</v>
      </c>
      <c r="F12" s="3"/>
      <c r="G12" s="3"/>
    </row>
    <row r="13" spans="3:11" x14ac:dyDescent="0.25">
      <c r="C13" s="3" t="s">
        <v>19</v>
      </c>
      <c r="D13" s="3"/>
      <c r="E13" s="3">
        <f>AVERAGE(F3:F9)</f>
        <v>68.142857142857139</v>
      </c>
      <c r="F13" s="3"/>
      <c r="G13" s="3"/>
    </row>
  </sheetData>
  <mergeCells count="9">
    <mergeCell ref="H7:J7"/>
    <mergeCell ref="H8:J8"/>
    <mergeCell ref="H9:J9"/>
    <mergeCell ref="C11:D11"/>
    <mergeCell ref="C12:D12"/>
    <mergeCell ref="C13:D13"/>
    <mergeCell ref="E11:G11"/>
    <mergeCell ref="E12:G12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Lab12</dc:creator>
  <cp:lastModifiedBy>Lab12</cp:lastModifiedBy>
  <dcterms:created xsi:type="dcterms:W3CDTF">2025-03-13T06:33:37Z</dcterms:created>
  <dcterms:modified xsi:type="dcterms:W3CDTF">2025-03-13T07:17:19Z</dcterms:modified>
</cp:coreProperties>
</file>