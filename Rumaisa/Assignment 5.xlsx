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2.IOBM-STD\Documents\Rumaisa\"/>
    </mc:Choice>
  </mc:AlternateContent>
  <xr:revisionPtr revIDLastSave="0" documentId="13_ncr:1_{A6F82646-6C44-4F75-84D3-CAE8D8D93884}" xr6:coauthVersionLast="36" xr6:coauthVersionMax="36" xr10:uidLastSave="{00000000-0000-0000-0000-000000000000}"/>
  <bookViews>
    <workbookView xWindow="0" yWindow="0" windowWidth="28800" windowHeight="12105" xr2:uid="{1A6AC4A0-6F1E-467B-9136-F464FED9B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21" i="1"/>
  <c r="H22" i="1"/>
  <c r="H23" i="1"/>
  <c r="H24" i="1"/>
  <c r="H25" i="1"/>
  <c r="H19" i="1"/>
  <c r="H7" i="1"/>
  <c r="H8" i="1"/>
  <c r="H9" i="1"/>
  <c r="H10" i="1"/>
  <c r="H11" i="1"/>
  <c r="H12" i="1"/>
  <c r="H6" i="1"/>
</calcChain>
</file>

<file path=xl/sharedStrings.xml><?xml version="1.0" encoding="utf-8"?>
<sst xmlns="http://schemas.openxmlformats.org/spreadsheetml/2006/main" count="61" uniqueCount="35">
  <si>
    <t>S.no</t>
  </si>
  <si>
    <t xml:space="preserve">Car </t>
  </si>
  <si>
    <t>Model</t>
  </si>
  <si>
    <t xml:space="preserve">Make </t>
  </si>
  <si>
    <t>Buy</t>
  </si>
  <si>
    <t>Yaris</t>
  </si>
  <si>
    <t>Civic</t>
  </si>
  <si>
    <t>Accord</t>
  </si>
  <si>
    <t>X7</t>
  </si>
  <si>
    <t>Camry</t>
  </si>
  <si>
    <t>Lancer</t>
  </si>
  <si>
    <t>Corolla</t>
  </si>
  <si>
    <t>Toyota</t>
  </si>
  <si>
    <t>Mitsubishi</t>
  </si>
  <si>
    <t>Changan</t>
  </si>
  <si>
    <t>Honda</t>
  </si>
  <si>
    <t>Set Buy status to yes if make is Toyota and Model is greater than 2015</t>
  </si>
  <si>
    <t>Set Buy status to yes if make is Toyota or Model is greater than 2015</t>
  </si>
  <si>
    <t xml:space="preserve">Name </t>
  </si>
  <si>
    <t>ali</t>
  </si>
  <si>
    <t>jafar</t>
  </si>
  <si>
    <t>zahid</t>
  </si>
  <si>
    <t>melisa</t>
  </si>
  <si>
    <t>zeyneb</t>
  </si>
  <si>
    <t>Amount</t>
  </si>
  <si>
    <t xml:space="preserve">Discount </t>
  </si>
  <si>
    <t>Payable Amount</t>
  </si>
  <si>
    <t>gold</t>
  </si>
  <si>
    <t>sliver</t>
  </si>
  <si>
    <t>titanium</t>
  </si>
  <si>
    <t>Membership type</t>
  </si>
  <si>
    <t xml:space="preserve">Membership Type </t>
  </si>
  <si>
    <t xml:space="preserve">Titanium </t>
  </si>
  <si>
    <t xml:space="preserve">Gold </t>
  </si>
  <si>
    <t xml:space="preserve">sliver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</si>
</sst>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9DA0-3D15-4974-8BDA-2AD717A88FE2}">
  <dimension ref="D3:S25"/>
  <sheetViews>
    <sheetView tabSelected="1" workbookViewId="0">
      <selection activeCell="O6" sqref="O6"/>
    </sheetView>
  </sheetViews>
  <sheetFormatPr defaultRowHeight="15" x14ac:dyDescent="0.25"/>
  <cols>
    <col min="7" max="7" width="10.28515625" bestFit="1" customWidth="1"/>
    <col min="13" max="13" width="16.85546875" bestFit="1" customWidth="1"/>
    <col min="16" max="16" width="15.7109375" bestFit="1" customWidth="1"/>
    <col min="18" max="18" width="17.7109375" bestFit="1" customWidth="1"/>
  </cols>
  <sheetData>
    <row r="3" spans="4:19" x14ac:dyDescent="0.25">
      <c r="D3" s="1" t="s">
        <v>16</v>
      </c>
      <c r="E3" s="1"/>
      <c r="F3" s="1"/>
      <c r="G3" s="1"/>
      <c r="H3" s="1"/>
    </row>
    <row r="4" spans="4:19" x14ac:dyDescent="0.25">
      <c r="D4" s="1"/>
      <c r="E4" s="1"/>
      <c r="F4" s="1"/>
      <c r="G4" s="1"/>
      <c r="H4" s="1"/>
    </row>
    <row r="5" spans="4:19" x14ac:dyDescent="0.25"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K5" s="2" t="s">
        <v>0</v>
      </c>
      <c r="L5" s="2" t="s">
        <v>18</v>
      </c>
      <c r="M5" s="2" t="s">
        <v>30</v>
      </c>
      <c r="N5" s="2" t="s">
        <v>24</v>
      </c>
      <c r="O5" s="2" t="s">
        <v>25</v>
      </c>
      <c r="P5" s="2" t="s">
        <v>26</v>
      </c>
      <c r="R5" s="2" t="s">
        <v>31</v>
      </c>
      <c r="S5" s="2" t="s">
        <v>25</v>
      </c>
    </row>
    <row r="6" spans="4:19" x14ac:dyDescent="0.25">
      <c r="D6" s="2">
        <v>1</v>
      </c>
      <c r="E6" s="2" t="s">
        <v>11</v>
      </c>
      <c r="F6" s="2">
        <v>1999</v>
      </c>
      <c r="G6" s="2" t="s">
        <v>12</v>
      </c>
      <c r="H6" s="2" t="str">
        <f>IF(F6&gt;2015, IF(G6="toyota", "yes","no"),"no")</f>
        <v>no</v>
      </c>
      <c r="K6" s="2">
        <v>1</v>
      </c>
      <c r="L6" s="2" t="s">
        <v>19</v>
      </c>
      <c r="M6" s="2" t="s">
        <v>27</v>
      </c>
      <c r="N6" s="2">
        <v>5000</v>
      </c>
      <c r="O6" s="2"/>
      <c r="P6" s="2"/>
      <c r="R6" s="2" t="s">
        <v>32</v>
      </c>
      <c r="S6" s="3">
        <v>0.25</v>
      </c>
    </row>
    <row r="7" spans="4:19" x14ac:dyDescent="0.25">
      <c r="D7" s="2">
        <v>2</v>
      </c>
      <c r="E7" s="2" t="s">
        <v>10</v>
      </c>
      <c r="F7" s="2">
        <v>2002</v>
      </c>
      <c r="G7" s="2" t="s">
        <v>13</v>
      </c>
      <c r="H7" s="2" t="str">
        <f t="shared" ref="H7:H12" si="0">IF(F7&gt;2015, IF(G7="toyota", "yes","no"),"no")</f>
        <v>no</v>
      </c>
      <c r="K7" s="2">
        <v>2</v>
      </c>
      <c r="L7" s="2" t="s">
        <v>20</v>
      </c>
      <c r="M7" s="2" t="s">
        <v>28</v>
      </c>
      <c r="N7" s="2">
        <v>8000</v>
      </c>
      <c r="O7" s="2"/>
      <c r="P7" s="2"/>
      <c r="R7" s="2" t="s">
        <v>33</v>
      </c>
      <c r="S7" s="3">
        <v>0.15</v>
      </c>
    </row>
    <row r="8" spans="4:19" x14ac:dyDescent="0.25">
      <c r="D8" s="2">
        <v>3</v>
      </c>
      <c r="E8" s="2" t="s">
        <v>9</v>
      </c>
      <c r="F8" s="2">
        <v>2016</v>
      </c>
      <c r="G8" s="2" t="s">
        <v>12</v>
      </c>
      <c r="H8" s="2" t="str">
        <f t="shared" si="0"/>
        <v>yes</v>
      </c>
      <c r="K8" s="2">
        <v>3</v>
      </c>
      <c r="L8" s="2" t="s">
        <v>21</v>
      </c>
      <c r="M8" s="2" t="s">
        <v>29</v>
      </c>
      <c r="N8" s="2">
        <v>6000</v>
      </c>
      <c r="O8" s="2"/>
      <c r="P8" s="2"/>
      <c r="R8" s="2" t="s">
        <v>34</v>
      </c>
      <c r="S8" s="3">
        <v>0.1</v>
      </c>
    </row>
    <row r="9" spans="4:19" x14ac:dyDescent="0.25">
      <c r="D9" s="2">
        <v>4</v>
      </c>
      <c r="E9" s="2" t="s">
        <v>8</v>
      </c>
      <c r="F9" s="2">
        <v>2023</v>
      </c>
      <c r="G9" s="2" t="s">
        <v>14</v>
      </c>
      <c r="H9" s="2" t="str">
        <f t="shared" si="0"/>
        <v>no</v>
      </c>
      <c r="K9" s="2">
        <v>4</v>
      </c>
      <c r="L9" s="2" t="s">
        <v>22</v>
      </c>
      <c r="M9" s="2" t="s">
        <v>27</v>
      </c>
      <c r="N9" s="2">
        <v>9000</v>
      </c>
      <c r="O9" s="2"/>
      <c r="P9" s="2"/>
    </row>
    <row r="10" spans="4:19" x14ac:dyDescent="0.25">
      <c r="D10" s="2">
        <v>5</v>
      </c>
      <c r="E10" s="2" t="s">
        <v>7</v>
      </c>
      <c r="F10" s="2">
        <v>2016</v>
      </c>
      <c r="G10" s="2" t="s">
        <v>15</v>
      </c>
      <c r="H10" s="2" t="str">
        <f t="shared" si="0"/>
        <v>no</v>
      </c>
      <c r="K10" s="2">
        <v>5</v>
      </c>
      <c r="L10" s="2" t="s">
        <v>23</v>
      </c>
      <c r="M10" s="2" t="s">
        <v>28</v>
      </c>
      <c r="N10" s="2">
        <v>7000</v>
      </c>
      <c r="O10" s="2"/>
      <c r="P10" s="2"/>
    </row>
    <row r="11" spans="4:19" x14ac:dyDescent="0.25">
      <c r="D11" s="2">
        <v>6</v>
      </c>
      <c r="E11" s="2" t="s">
        <v>6</v>
      </c>
      <c r="F11" s="2">
        <v>2020</v>
      </c>
      <c r="G11" s="2" t="s">
        <v>15</v>
      </c>
      <c r="H11" s="2" t="str">
        <f t="shared" si="0"/>
        <v>no</v>
      </c>
    </row>
    <row r="12" spans="4:19" x14ac:dyDescent="0.25">
      <c r="D12" s="2">
        <v>7</v>
      </c>
      <c r="E12" s="2" t="s">
        <v>5</v>
      </c>
      <c r="F12" s="2">
        <v>2016</v>
      </c>
      <c r="G12" s="2" t="s">
        <v>12</v>
      </c>
      <c r="H12" s="2" t="str">
        <f t="shared" si="0"/>
        <v>yes</v>
      </c>
    </row>
    <row r="16" spans="4:19" x14ac:dyDescent="0.25">
      <c r="D16" s="1" t="s">
        <v>17</v>
      </c>
      <c r="E16" s="1"/>
      <c r="F16" s="1"/>
      <c r="G16" s="1"/>
      <c r="H16" s="1"/>
    </row>
    <row r="17" spans="4:8" x14ac:dyDescent="0.25">
      <c r="D17" s="1"/>
      <c r="E17" s="1"/>
      <c r="F17" s="1"/>
      <c r="G17" s="1"/>
      <c r="H17" s="1"/>
    </row>
    <row r="18" spans="4:8" x14ac:dyDescent="0.25">
      <c r="D18" s="2" t="s">
        <v>0</v>
      </c>
      <c r="E18" s="2" t="s">
        <v>1</v>
      </c>
      <c r="F18" s="2" t="s">
        <v>2</v>
      </c>
      <c r="G18" s="2" t="s">
        <v>3</v>
      </c>
      <c r="H18" s="2" t="s">
        <v>4</v>
      </c>
    </row>
    <row r="19" spans="4:8" x14ac:dyDescent="0.25">
      <c r="D19" s="2">
        <v>1</v>
      </c>
      <c r="E19" s="2" t="s">
        <v>11</v>
      </c>
      <c r="F19" s="2">
        <v>1999</v>
      </c>
      <c r="G19" s="2" t="s">
        <v>12</v>
      </c>
      <c r="H19" s="2" t="str">
        <f>IF(F19&gt;2015,"Yes",IF(G19="toyota", "yes","no"))</f>
        <v>yes</v>
      </c>
    </row>
    <row r="20" spans="4:8" x14ac:dyDescent="0.25">
      <c r="D20" s="2">
        <v>2</v>
      </c>
      <c r="E20" s="2" t="s">
        <v>10</v>
      </c>
      <c r="F20" s="2">
        <v>2002</v>
      </c>
      <c r="G20" s="2" t="s">
        <v>13</v>
      </c>
      <c r="H20" s="2" t="str">
        <f t="shared" ref="H20:H25" si="1">IF(F20&gt;2015,"Yes",IF(G20="toyota", "yes","no"))</f>
        <v>no</v>
      </c>
    </row>
    <row r="21" spans="4:8" x14ac:dyDescent="0.25">
      <c r="D21" s="2">
        <v>3</v>
      </c>
      <c r="E21" s="2" t="s">
        <v>9</v>
      </c>
      <c r="F21" s="2">
        <v>2016</v>
      </c>
      <c r="G21" s="2" t="s">
        <v>12</v>
      </c>
      <c r="H21" s="2" t="str">
        <f t="shared" si="1"/>
        <v>Yes</v>
      </c>
    </row>
    <row r="22" spans="4:8" x14ac:dyDescent="0.25">
      <c r="D22" s="2">
        <v>4</v>
      </c>
      <c r="E22" s="2" t="s">
        <v>8</v>
      </c>
      <c r="F22" s="2">
        <v>2023</v>
      </c>
      <c r="G22" s="2" t="s">
        <v>14</v>
      </c>
      <c r="H22" s="2" t="str">
        <f t="shared" si="1"/>
        <v>Yes</v>
      </c>
    </row>
    <row r="23" spans="4:8" x14ac:dyDescent="0.25">
      <c r="D23" s="2">
        <v>5</v>
      </c>
      <c r="E23" s="2" t="s">
        <v>7</v>
      </c>
      <c r="F23" s="2">
        <v>2016</v>
      </c>
      <c r="G23" s="2" t="s">
        <v>15</v>
      </c>
      <c r="H23" s="2" t="str">
        <f t="shared" si="1"/>
        <v>Yes</v>
      </c>
    </row>
    <row r="24" spans="4:8" x14ac:dyDescent="0.25">
      <c r="D24" s="2">
        <v>6</v>
      </c>
      <c r="E24" s="2" t="s">
        <v>6</v>
      </c>
      <c r="F24" s="2">
        <v>2020</v>
      </c>
      <c r="G24" s="2" t="s">
        <v>15</v>
      </c>
      <c r="H24" s="2" t="str">
        <f t="shared" si="1"/>
        <v>Yes</v>
      </c>
    </row>
    <row r="25" spans="4:8" x14ac:dyDescent="0.25">
      <c r="D25" s="2">
        <v>7</v>
      </c>
      <c r="E25" s="2" t="s">
        <v>5</v>
      </c>
      <c r="F25" s="2">
        <v>2016</v>
      </c>
      <c r="G25" s="2" t="s">
        <v>12</v>
      </c>
      <c r="H25" s="2" t="str">
        <f t="shared" si="1"/>
        <v>Yes</v>
      </c>
    </row>
  </sheetData>
  <mergeCells count="2">
    <mergeCell ref="D3:H4"/>
    <mergeCell ref="D16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Lab12</dc:creator>
  <cp:lastModifiedBy>Lab12</cp:lastModifiedBy>
  <dcterms:created xsi:type="dcterms:W3CDTF">2025-03-20T06:34:55Z</dcterms:created>
  <dcterms:modified xsi:type="dcterms:W3CDTF">2025-03-20T07:29:40Z</dcterms:modified>
</cp:coreProperties>
</file>