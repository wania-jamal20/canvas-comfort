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12.IOBM-STD\Documents\Rumaisa\"/>
    </mc:Choice>
  </mc:AlternateContent>
  <xr:revisionPtr revIDLastSave="0" documentId="8_{3FC6F17D-9BE6-47B0-98F2-41487948E684}" xr6:coauthVersionLast="36" xr6:coauthVersionMax="36" xr10:uidLastSave="{00000000-0000-0000-0000-000000000000}"/>
  <bookViews>
    <workbookView xWindow="0" yWindow="0" windowWidth="28800" windowHeight="12105" xr2:uid="{3F94D030-F664-46B3-9F33-4DFCE42DE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L8" i="1"/>
  <c r="L9" i="1"/>
  <c r="L10" i="1"/>
  <c r="L11" i="1"/>
  <c r="L12" i="1"/>
  <c r="L13" i="1"/>
  <c r="L7" i="1"/>
  <c r="K8" i="1"/>
  <c r="K9" i="1"/>
  <c r="K10" i="1"/>
  <c r="K11" i="1"/>
  <c r="K12" i="1"/>
  <c r="K13" i="1"/>
  <c r="K7" i="1"/>
  <c r="J8" i="1"/>
  <c r="J9" i="1"/>
  <c r="J10" i="1"/>
  <c r="J11" i="1"/>
  <c r="J12" i="1"/>
  <c r="J13" i="1"/>
  <c r="J7" i="1"/>
  <c r="I8" i="1"/>
  <c r="I9" i="1"/>
  <c r="I10" i="1"/>
  <c r="I11" i="1"/>
  <c r="I12" i="1"/>
  <c r="I13" i="1"/>
  <c r="I7" i="1"/>
  <c r="H8" i="1"/>
  <c r="H9" i="1"/>
  <c r="H10" i="1"/>
  <c r="H11" i="1"/>
  <c r="H12" i="1"/>
  <c r="H13" i="1"/>
  <c r="H7" i="1"/>
  <c r="G13" i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<sst xmlns="http://schemas.openxmlformats.org/spreadsheetml/2006/main" count="19" uniqueCount="19">
  <si>
    <t>Emp.No</t>
  </si>
  <si>
    <t xml:space="preserve">Name </t>
  </si>
  <si>
    <t>ABC</t>
  </si>
  <si>
    <t>DEF</t>
  </si>
  <si>
    <t>GHI</t>
  </si>
  <si>
    <t>JKL</t>
  </si>
  <si>
    <t>MNO</t>
  </si>
  <si>
    <t>PQR</t>
  </si>
  <si>
    <t>STU</t>
  </si>
  <si>
    <t xml:space="preserve">Basic Salary </t>
  </si>
  <si>
    <t xml:space="preserve">House Rent </t>
  </si>
  <si>
    <t>Conv. Allowance</t>
  </si>
  <si>
    <t xml:space="preserve">Medical Allowance </t>
  </si>
  <si>
    <t>Gross</t>
  </si>
  <si>
    <t>Tax</t>
  </si>
  <si>
    <t>Net</t>
  </si>
  <si>
    <t xml:space="preserve">Total Salary </t>
  </si>
  <si>
    <t>TOTAL SALARY OF EMPLOYEES LESS THAN 5000</t>
  </si>
  <si>
    <t>NO OF EMPLOYEES WHO DID NOT PAY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</si>
</sst>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 vertical="center" indent="7"/>
    </xf>
    <xf numFmtId="0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A90E-0147-492B-8CE0-EE13CA4EE8C2}">
  <dimension ref="D6:L19"/>
  <sheetViews>
    <sheetView tabSelected="1" workbookViewId="0">
      <selection activeCell="K26" sqref="K26"/>
    </sheetView>
  </sheetViews>
  <sheetFormatPr defaultRowHeight="15" x14ac:dyDescent="0.25"/>
  <cols>
    <col min="4" max="4" width="9.85546875" customWidth="1"/>
    <col min="6" max="7" width="11.5703125" bestFit="1" customWidth="1"/>
    <col min="8" max="8" width="15.85546875" bestFit="1" customWidth="1"/>
    <col min="9" max="9" width="18.42578125" bestFit="1" customWidth="1"/>
  </cols>
  <sheetData>
    <row r="6" spans="4:12" x14ac:dyDescent="0.25">
      <c r="D6" s="2" t="s">
        <v>0</v>
      </c>
      <c r="E6" s="2" t="s">
        <v>1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</row>
    <row r="7" spans="4:12" x14ac:dyDescent="0.25">
      <c r="D7" s="2">
        <v>1</v>
      </c>
      <c r="E7" s="2" t="s">
        <v>2</v>
      </c>
      <c r="F7" s="2">
        <v>8000</v>
      </c>
      <c r="G7" s="4">
        <f>F7*45%</f>
        <v>3600</v>
      </c>
      <c r="H7" s="2">
        <f>IF(F7&gt;5000,F7*30%,F7*20%)</f>
        <v>2400</v>
      </c>
      <c r="I7" s="2">
        <f>IF(F7&gt;5000,F7*60%,F7*45%)</f>
        <v>4800</v>
      </c>
      <c r="J7" s="2">
        <f>F7+G7+H7+I7</f>
        <v>18800</v>
      </c>
      <c r="K7" s="2">
        <f>IF(J7&gt;15000,J7*10%,J7*0)</f>
        <v>1880</v>
      </c>
      <c r="L7" s="2">
        <f>J7-K7</f>
        <v>16920</v>
      </c>
    </row>
    <row r="8" spans="4:12" x14ac:dyDescent="0.25">
      <c r="D8" s="2">
        <v>2</v>
      </c>
      <c r="E8" s="2" t="s">
        <v>3</v>
      </c>
      <c r="F8" s="2">
        <v>3500</v>
      </c>
      <c r="G8" s="2">
        <f>F8*30%</f>
        <v>1050</v>
      </c>
      <c r="H8" s="2">
        <f t="shared" ref="H8:H13" si="0">IF(F8&gt;5000,F8*30%,F8*20%)</f>
        <v>700</v>
      </c>
      <c r="I8" s="2">
        <f t="shared" ref="I8:I13" si="1">IF(F8&gt;5000,F8*60%,F8*45%)</f>
        <v>1575</v>
      </c>
      <c r="J8" s="2">
        <f t="shared" ref="J8:J13" si="2">F8+G8+H8+I8</f>
        <v>6825</v>
      </c>
      <c r="K8" s="2">
        <f t="shared" ref="K8:K13" si="3">IF(J8&gt;15000,J8*10%,J8*0)</f>
        <v>0</v>
      </c>
      <c r="L8" s="2">
        <f t="shared" ref="L8:L13" si="4">J8-K8</f>
        <v>6825</v>
      </c>
    </row>
    <row r="9" spans="4:12" x14ac:dyDescent="0.25">
      <c r="D9" s="2">
        <v>3</v>
      </c>
      <c r="E9" s="2" t="s">
        <v>4</v>
      </c>
      <c r="F9" s="2">
        <v>8900</v>
      </c>
      <c r="G9" s="2">
        <f>F9*45%</f>
        <v>4005</v>
      </c>
      <c r="H9" s="2">
        <f t="shared" si="0"/>
        <v>2670</v>
      </c>
      <c r="I9" s="2">
        <f t="shared" si="1"/>
        <v>5340</v>
      </c>
      <c r="J9" s="2">
        <f t="shared" si="2"/>
        <v>20915</v>
      </c>
      <c r="K9" s="2">
        <f t="shared" si="3"/>
        <v>2091.5</v>
      </c>
      <c r="L9" s="2">
        <f t="shared" si="4"/>
        <v>18823.5</v>
      </c>
    </row>
    <row r="10" spans="4:12" x14ac:dyDescent="0.25">
      <c r="D10" s="2">
        <v>4</v>
      </c>
      <c r="E10" s="2" t="s">
        <v>5</v>
      </c>
      <c r="F10" s="2">
        <v>4500</v>
      </c>
      <c r="G10" s="2">
        <f>F10*30%</f>
        <v>1350</v>
      </c>
      <c r="H10" s="2">
        <f t="shared" si="0"/>
        <v>900</v>
      </c>
      <c r="I10" s="2">
        <f t="shared" si="1"/>
        <v>2025</v>
      </c>
      <c r="J10" s="2">
        <f t="shared" si="2"/>
        <v>8775</v>
      </c>
      <c r="K10" s="2">
        <f t="shared" si="3"/>
        <v>0</v>
      </c>
      <c r="L10" s="2">
        <f t="shared" si="4"/>
        <v>8775</v>
      </c>
    </row>
    <row r="11" spans="4:12" x14ac:dyDescent="0.25">
      <c r="D11" s="2">
        <v>5</v>
      </c>
      <c r="E11" s="2" t="s">
        <v>6</v>
      </c>
      <c r="F11" s="2">
        <v>6500</v>
      </c>
      <c r="G11" s="2">
        <f>F11*45%</f>
        <v>2925</v>
      </c>
      <c r="H11" s="2">
        <f t="shared" si="0"/>
        <v>1950</v>
      </c>
      <c r="I11" s="2">
        <f t="shared" si="1"/>
        <v>3900</v>
      </c>
      <c r="J11" s="2">
        <f t="shared" si="2"/>
        <v>15275</v>
      </c>
      <c r="K11" s="2">
        <f t="shared" si="3"/>
        <v>1527.5</v>
      </c>
      <c r="L11" s="2">
        <f t="shared" si="4"/>
        <v>13747.5</v>
      </c>
    </row>
    <row r="12" spans="4:12" x14ac:dyDescent="0.25">
      <c r="D12" s="2">
        <v>6</v>
      </c>
      <c r="E12" s="2" t="s">
        <v>7</v>
      </c>
      <c r="F12" s="2">
        <v>4000</v>
      </c>
      <c r="G12" s="2">
        <f>F12*30%</f>
        <v>1200</v>
      </c>
      <c r="H12" s="2">
        <f t="shared" si="0"/>
        <v>800</v>
      </c>
      <c r="I12" s="2">
        <f t="shared" si="1"/>
        <v>1800</v>
      </c>
      <c r="J12" s="2">
        <f t="shared" si="2"/>
        <v>7800</v>
      </c>
      <c r="K12" s="2">
        <f t="shared" si="3"/>
        <v>0</v>
      </c>
      <c r="L12" s="2">
        <f t="shared" si="4"/>
        <v>7800</v>
      </c>
    </row>
    <row r="13" spans="4:12" x14ac:dyDescent="0.25">
      <c r="D13" s="2">
        <v>7</v>
      </c>
      <c r="E13" s="2" t="s">
        <v>8</v>
      </c>
      <c r="F13" s="2">
        <v>7800</v>
      </c>
      <c r="G13" s="2">
        <f>F13*45%</f>
        <v>3510</v>
      </c>
      <c r="H13" s="2">
        <f t="shared" si="0"/>
        <v>2340</v>
      </c>
      <c r="I13" s="2">
        <f t="shared" si="1"/>
        <v>4680</v>
      </c>
      <c r="J13" s="2">
        <f t="shared" si="2"/>
        <v>18330</v>
      </c>
      <c r="K13" s="2">
        <f t="shared" si="3"/>
        <v>1833</v>
      </c>
      <c r="L13" s="2">
        <f t="shared" si="4"/>
        <v>16497</v>
      </c>
    </row>
    <row r="14" spans="4:12" x14ac:dyDescent="0.25">
      <c r="D14" s="3" t="s">
        <v>16</v>
      </c>
      <c r="E14" s="3"/>
      <c r="F14" s="3"/>
      <c r="G14" s="3"/>
      <c r="H14" s="3"/>
      <c r="I14" s="3"/>
      <c r="J14" s="3"/>
      <c r="K14" s="3"/>
      <c r="L14" s="3"/>
    </row>
    <row r="15" spans="4:12" x14ac:dyDescent="0.25">
      <c r="D15" s="3"/>
      <c r="E15" s="3"/>
      <c r="F15" s="3"/>
      <c r="G15" s="3"/>
      <c r="H15" s="3"/>
      <c r="I15" s="3"/>
      <c r="J15" s="3"/>
      <c r="K15" s="3"/>
      <c r="L15" s="3"/>
    </row>
    <row r="16" spans="4:12" x14ac:dyDescent="0.25">
      <c r="D16" s="3"/>
      <c r="E16" s="3"/>
      <c r="F16" s="3"/>
      <c r="G16" s="3"/>
      <c r="H16" s="3"/>
      <c r="I16" s="3"/>
      <c r="J16" s="3"/>
      <c r="K16" s="3"/>
      <c r="L16" s="3"/>
    </row>
    <row r="18" spans="4:8" x14ac:dyDescent="0.25">
      <c r="D18" s="1" t="s">
        <v>17</v>
      </c>
      <c r="E18" s="1"/>
      <c r="F18" s="1"/>
      <c r="G18" s="1"/>
      <c r="H18">
        <f>SUMIF(F7:F13,"&lt;5000")</f>
        <v>12000</v>
      </c>
    </row>
    <row r="19" spans="4:8" x14ac:dyDescent="0.25">
      <c r="D19" s="1" t="s">
        <v>18</v>
      </c>
      <c r="E19" s="1"/>
      <c r="F19" s="1"/>
      <c r="G19" s="1"/>
      <c r="H19">
        <f>COUNTIF(K7:K13, "0")</f>
        <v>3</v>
      </c>
    </row>
  </sheetData>
  <mergeCells count="3">
    <mergeCell ref="D14:L16"/>
    <mergeCell ref="D18:G18"/>
    <mergeCell ref="D19:G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Lab12</dc:creator>
  <cp:lastModifiedBy>Lab12</cp:lastModifiedBy>
  <dcterms:created xsi:type="dcterms:W3CDTF">2025-03-18T06:23:49Z</dcterms:created>
  <dcterms:modified xsi:type="dcterms:W3CDTF">2025-03-18T07:23:22Z</dcterms:modified>
</cp:coreProperties>
</file>